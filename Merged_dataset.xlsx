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5" customWidth="1" min="5" max="5"/>
    <col width="16" customWidth="1" min="6" max="6"/>
    <col width="18" customWidth="1" min="7" max="7"/>
    <col width="15" customWidth="1" min="8" max="8"/>
    <col width="18" customWidth="1" min="9" max="9"/>
    <col width="28" customWidth="1" min="10" max="10"/>
    <col width="20" customWidth="1" min="11" max="11"/>
  </cols>
  <sheetData>
    <row r="1">
      <c r="A1" s="1" t="inlineStr">
        <is>
          <t>Merged EV Demand Table</t>
        </is>
      </c>
    </row>
    <row r="3">
      <c r="A3" s="2" t="n"/>
    </row>
    <row r="5" ht="42" customHeight="1">
      <c r="A5" s="3" t="inlineStr">
        <is>
          <t>District</t>
        </is>
      </c>
      <c r="B5" s="3" t="inlineStr">
        <is>
          <t>Divisional Secretariat Division</t>
        </is>
      </c>
      <c r="C5" s="3" t="inlineStr">
        <is>
          <t>Population</t>
        </is>
      </c>
      <c r="D5" s="3" t="inlineStr">
        <is>
          <t>Area</t>
        </is>
      </c>
      <c r="E5" s="3" t="inlineStr">
        <is>
          <t>Population Share</t>
        </is>
      </c>
      <c r="F5" s="3" t="inlineStr">
        <is>
          <t>Urbanization Proxy</t>
        </is>
      </c>
      <c r="G5" s="3" t="inlineStr">
        <is>
          <t>Demand Score</t>
        </is>
      </c>
      <c r="H5" s="3" t="inlineStr">
        <is>
          <t>District EV Count</t>
        </is>
      </c>
      <c r="I5" s="3" t="inlineStr">
        <is>
          <t>Divisional Secretariat EV Demand</t>
        </is>
      </c>
      <c r="J5" s="3" t="inlineStr">
        <is>
          <t>Existing Charging Points in Divisional Secretariat</t>
        </is>
      </c>
      <c r="K5" s="3" t="inlineStr">
        <is>
          <t>Expected Charging Stations</t>
        </is>
      </c>
    </row>
    <row r="6">
      <c r="A6" s="4" t="inlineStr">
        <is>
          <t>Sri Lanka</t>
        </is>
      </c>
      <c r="B6" s="4" t="inlineStr">
        <is>
          <t>Sri Lanka</t>
        </is>
      </c>
      <c r="C6" s="5" t="n">
        <v>21781800</v>
      </c>
      <c r="D6" s="5" t="n"/>
      <c r="E6" s="4">
        <f>IFERROR(C6/SUMIF($A$6:$A$45,A6,$C$6:$C$45),"")</f>
        <v/>
      </c>
      <c r="F6" s="4">
        <f>IFERROR(C6/D6,"")</f>
        <v/>
      </c>
      <c r="G6" s="4">
        <f>IFERROR(0.5*E6+0.5*F6,"")</f>
        <v/>
      </c>
      <c r="H6" s="5" t="n">
        <v>0</v>
      </c>
      <c r="I6" s="5" t="n"/>
      <c r="J6" s="5" t="n">
        <v>0</v>
      </c>
      <c r="K6" s="5" t="n"/>
    </row>
    <row r="7">
      <c r="A7" s="4" t="inlineStr">
        <is>
          <t>Colombo District</t>
        </is>
      </c>
      <c r="B7" s="4" t="inlineStr">
        <is>
          <t>Colombo</t>
        </is>
      </c>
      <c r="C7" s="5" t="n">
        <v>292089</v>
      </c>
      <c r="D7" s="5" t="n"/>
      <c r="E7" s="4">
        <f>IFERROR(C7/SUMIF($A$6:$A$45,A7,$C$6:$C$45),"")</f>
        <v/>
      </c>
      <c r="F7" s="4">
        <f>IFERROR(C7/D7,"")</f>
        <v/>
      </c>
      <c r="G7" s="4">
        <f>IFERROR(0.5*E7+0.5*F7,"")</f>
        <v/>
      </c>
      <c r="H7" s="5" t="n">
        <v>11783</v>
      </c>
      <c r="I7" s="5" t="n"/>
      <c r="J7" s="5" t="n">
        <v>3</v>
      </c>
      <c r="K7" s="5" t="n"/>
    </row>
    <row r="8">
      <c r="A8" s="4" t="inlineStr">
        <is>
          <t>Colombo District</t>
        </is>
      </c>
      <c r="B8" s="4" t="inlineStr">
        <is>
          <t>Kolonnawa</t>
        </is>
      </c>
      <c r="C8" s="5" t="n">
        <v>214070</v>
      </c>
      <c r="D8" s="5" t="n"/>
      <c r="E8" s="4">
        <f>IFERROR(C8/SUMIF($A$6:$A$45,A8,$C$6:$C$45),"")</f>
        <v/>
      </c>
      <c r="F8" s="4">
        <f>IFERROR(C8/D8,"")</f>
        <v/>
      </c>
      <c r="G8" s="4">
        <f>IFERROR(0.5*E8+0.5*F8,"")</f>
        <v/>
      </c>
      <c r="H8" s="5" t="n">
        <v>11783</v>
      </c>
      <c r="I8" s="5" t="n"/>
      <c r="J8" s="5" t="n">
        <v>0</v>
      </c>
      <c r="K8" s="5" t="n"/>
    </row>
    <row r="9">
      <c r="A9" s="4" t="inlineStr">
        <is>
          <t>Colombo District</t>
        </is>
      </c>
      <c r="B9" s="4" t="inlineStr">
        <is>
          <t>Kaduwela</t>
        </is>
      </c>
      <c r="C9" s="5" t="n">
        <v>277918</v>
      </c>
      <c r="D9" s="5" t="n"/>
      <c r="E9" s="4">
        <f>IFERROR(C9/SUMIF($A$6:$A$45,A9,$C$6:$C$45),"")</f>
        <v/>
      </c>
      <c r="F9" s="4">
        <f>IFERROR(C9/D9,"")</f>
        <v/>
      </c>
      <c r="G9" s="4">
        <f>IFERROR(0.5*E9+0.5*F9,"")</f>
        <v/>
      </c>
      <c r="H9" s="5" t="n">
        <v>11783</v>
      </c>
      <c r="I9" s="5" t="n"/>
      <c r="J9" s="5" t="n">
        <v>3</v>
      </c>
      <c r="K9" s="5" t="n"/>
    </row>
    <row r="10">
      <c r="A10" s="4" t="inlineStr">
        <is>
          <t>Colombo District</t>
        </is>
      </c>
      <c r="B10" s="4" t="inlineStr">
        <is>
          <t>Homagama</t>
        </is>
      </c>
      <c r="C10" s="5" t="n">
        <v>280771</v>
      </c>
      <c r="D10" s="5" t="n"/>
      <c r="E10" s="4">
        <f>IFERROR(C10/SUMIF($A$6:$A$45,A10,$C$6:$C$45),"")</f>
        <v/>
      </c>
      <c r="F10" s="4">
        <f>IFERROR(C10/D10,"")</f>
        <v/>
      </c>
      <c r="G10" s="4">
        <f>IFERROR(0.5*E10+0.5*F10,"")</f>
        <v/>
      </c>
      <c r="H10" s="5" t="n">
        <v>11783</v>
      </c>
      <c r="I10" s="5" t="n"/>
      <c r="J10" s="5" t="n">
        <v>1</v>
      </c>
      <c r="K10" s="5" t="n"/>
    </row>
    <row r="11">
      <c r="A11" s="4" t="inlineStr">
        <is>
          <t>Colombo District</t>
        </is>
      </c>
      <c r="B11" s="4" t="inlineStr">
        <is>
          <t>Seethawaka</t>
        </is>
      </c>
      <c r="C11" s="5" t="n">
        <v>122128</v>
      </c>
      <c r="D11" s="5" t="n"/>
      <c r="E11" s="4">
        <f>IFERROR(C11/SUMIF($A$6:$A$45,A11,$C$6:$C$45),"")</f>
        <v/>
      </c>
      <c r="F11" s="4">
        <f>IFERROR(C11/D11,"")</f>
        <v/>
      </c>
      <c r="G11" s="4">
        <f>IFERROR(0.5*E11+0.5*F11,"")</f>
        <v/>
      </c>
      <c r="H11" s="5" t="n">
        <v>11783</v>
      </c>
      <c r="I11" s="5" t="n"/>
      <c r="J11" s="5" t="n">
        <v>0</v>
      </c>
      <c r="K11" s="5" t="n"/>
    </row>
    <row r="12">
      <c r="A12" s="4" t="inlineStr">
        <is>
          <t>Colombo District</t>
        </is>
      </c>
      <c r="B12" s="4" t="inlineStr">
        <is>
          <t>Padukka</t>
        </is>
      </c>
      <c r="C12" s="5" t="n">
        <v>73014</v>
      </c>
      <c r="D12" s="5" t="n"/>
      <c r="E12" s="4">
        <f>IFERROR(C12/SUMIF($A$6:$A$45,A12,$C$6:$C$45),"")</f>
        <v/>
      </c>
      <c r="F12" s="4">
        <f>IFERROR(C12/D12,"")</f>
        <v/>
      </c>
      <c r="G12" s="4">
        <f>IFERROR(0.5*E12+0.5*F12,"")</f>
        <v/>
      </c>
      <c r="H12" s="5" t="n">
        <v>11783</v>
      </c>
      <c r="I12" s="5" t="n"/>
      <c r="J12" s="5" t="n">
        <v>0</v>
      </c>
      <c r="K12" s="5" t="n"/>
    </row>
    <row r="13">
      <c r="A13" s="4" t="inlineStr">
        <is>
          <t>Colombo District</t>
        </is>
      </c>
      <c r="B13" s="4" t="inlineStr">
        <is>
          <t>Maharagama</t>
        </is>
      </c>
      <c r="C13" s="5" t="n">
        <v>196500</v>
      </c>
      <c r="D13" s="5" t="n"/>
      <c r="E13" s="4">
        <f>IFERROR(C13/SUMIF($A$6:$A$45,A13,$C$6:$C$45),"")</f>
        <v/>
      </c>
      <c r="F13" s="4">
        <f>IFERROR(C13/D13,"")</f>
        <v/>
      </c>
      <c r="G13" s="4">
        <f>IFERROR(0.5*E13+0.5*F13,"")</f>
        <v/>
      </c>
      <c r="H13" s="5" t="n">
        <v>11783</v>
      </c>
      <c r="I13" s="5" t="n"/>
      <c r="J13" s="5" t="n">
        <v>5</v>
      </c>
      <c r="K13" s="5" t="n"/>
    </row>
    <row r="14">
      <c r="A14" s="4" t="inlineStr">
        <is>
          <t>Colombo District</t>
        </is>
      </c>
      <c r="B14" s="4" t="inlineStr">
        <is>
          <t>Sri Jayawardanapura Kotte</t>
        </is>
      </c>
      <c r="C14" s="5" t="n">
        <v>96189</v>
      </c>
      <c r="D14" s="5" t="n"/>
      <c r="E14" s="4">
        <f>IFERROR(C14/SUMIF($A$6:$A$45,A14,$C$6:$C$45),"")</f>
        <v/>
      </c>
      <c r="F14" s="4">
        <f>IFERROR(C14/D14,"")</f>
        <v/>
      </c>
      <c r="G14" s="4">
        <f>IFERROR(0.5*E14+0.5*F14,"")</f>
        <v/>
      </c>
      <c r="H14" s="5" t="n">
        <v>11783</v>
      </c>
      <c r="I14" s="5" t="n"/>
      <c r="J14" s="5" t="n">
        <v>3</v>
      </c>
      <c r="K14" s="5" t="n"/>
    </row>
    <row r="15">
      <c r="A15" s="4" t="inlineStr">
        <is>
          <t>Colombo District</t>
        </is>
      </c>
      <c r="B15" s="4" t="inlineStr">
        <is>
          <t>Thimbirigasyaya</t>
        </is>
      </c>
      <c r="C15" s="5" t="n">
        <v>217118</v>
      </c>
      <c r="D15" s="5" t="n"/>
      <c r="E15" s="4">
        <f>IFERROR(C15/SUMIF($A$6:$A$45,A15,$C$6:$C$45),"")</f>
        <v/>
      </c>
      <c r="F15" s="4">
        <f>IFERROR(C15/D15,"")</f>
        <v/>
      </c>
      <c r="G15" s="4">
        <f>IFERROR(0.5*E15+0.5*F15,"")</f>
        <v/>
      </c>
      <c r="H15" s="5" t="n">
        <v>11783</v>
      </c>
      <c r="I15" s="5" t="n"/>
      <c r="J15" s="5" t="n">
        <v>0</v>
      </c>
      <c r="K15" s="5" t="n"/>
    </row>
    <row r="16">
      <c r="A16" s="4" t="inlineStr">
        <is>
          <t>Colombo District</t>
        </is>
      </c>
      <c r="B16" s="4" t="inlineStr">
        <is>
          <t>Dehiwala</t>
        </is>
      </c>
      <c r="C16" s="5" t="n">
        <v>93815</v>
      </c>
      <c r="D16" s="5" t="n"/>
      <c r="E16" s="4">
        <f>IFERROR(C16/SUMIF($A$6:$A$45,A16,$C$6:$C$45),"")</f>
        <v/>
      </c>
      <c r="F16" s="4">
        <f>IFERROR(C16/D16,"")</f>
        <v/>
      </c>
      <c r="G16" s="4">
        <f>IFERROR(0.5*E16+0.5*F16,"")</f>
        <v/>
      </c>
      <c r="H16" s="5" t="n">
        <v>11783</v>
      </c>
      <c r="I16" s="5" t="n"/>
      <c r="J16" s="5" t="n">
        <v>4</v>
      </c>
      <c r="K16" s="5" t="n"/>
    </row>
    <row r="17">
      <c r="A17" s="4" t="inlineStr">
        <is>
          <t>Colombo District</t>
        </is>
      </c>
      <c r="B17" s="4" t="inlineStr">
        <is>
          <t>Ratmalana</t>
        </is>
      </c>
      <c r="C17" s="5" t="n">
        <v>88063</v>
      </c>
      <c r="D17" s="5" t="n"/>
      <c r="E17" s="4">
        <f>IFERROR(C17/SUMIF($A$6:$A$45,A17,$C$6:$C$45),"")</f>
        <v/>
      </c>
      <c r="F17" s="4">
        <f>IFERROR(C17/D17,"")</f>
        <v/>
      </c>
      <c r="G17" s="4">
        <f>IFERROR(0.5*E17+0.5*F17,"")</f>
        <v/>
      </c>
      <c r="H17" s="5" t="n">
        <v>11783</v>
      </c>
      <c r="I17" s="5" t="n"/>
      <c r="J17" s="5" t="n">
        <v>1</v>
      </c>
      <c r="K17" s="5" t="n"/>
    </row>
    <row r="18">
      <c r="A18" s="4" t="inlineStr">
        <is>
          <t>Colombo District</t>
        </is>
      </c>
      <c r="B18" s="4" t="inlineStr">
        <is>
          <t>Moratuwa</t>
        </is>
      </c>
      <c r="C18" s="5" t="n">
        <v>160199</v>
      </c>
      <c r="D18" s="5" t="n"/>
      <c r="E18" s="4">
        <f>IFERROR(C18/SUMIF($A$6:$A$45,A18,$C$6:$C$45),"")</f>
        <v/>
      </c>
      <c r="F18" s="4">
        <f>IFERROR(C18/D18,"")</f>
        <v/>
      </c>
      <c r="G18" s="4">
        <f>IFERROR(0.5*E18+0.5*F18,"")</f>
        <v/>
      </c>
      <c r="H18" s="5" t="n">
        <v>11783</v>
      </c>
      <c r="I18" s="5" t="n"/>
      <c r="J18" s="5" t="n">
        <v>1</v>
      </c>
      <c r="K18" s="5" t="n"/>
    </row>
    <row r="19">
      <c r="A19" s="4" t="inlineStr">
        <is>
          <t>Colombo District</t>
        </is>
      </c>
      <c r="B19" s="4" t="inlineStr">
        <is>
          <t>Kesbewa</t>
        </is>
      </c>
      <c r="C19" s="5" t="n">
        <v>263541</v>
      </c>
      <c r="D19" s="5" t="n"/>
      <c r="E19" s="4">
        <f>IFERROR(C19/SUMIF($A$6:$A$45,A19,$C$6:$C$45),"")</f>
        <v/>
      </c>
      <c r="F19" s="4">
        <f>IFERROR(C19/D19,"")</f>
        <v/>
      </c>
      <c r="G19" s="4">
        <f>IFERROR(0.5*E19+0.5*F19,"")</f>
        <v/>
      </c>
      <c r="H19" s="5" t="n">
        <v>11783</v>
      </c>
      <c r="I19" s="5" t="n"/>
      <c r="J19" s="5" t="n">
        <v>4</v>
      </c>
      <c r="K19" s="5" t="n"/>
    </row>
    <row r="20">
      <c r="A20" s="4" t="inlineStr">
        <is>
          <t>Gampaha District</t>
        </is>
      </c>
      <c r="B20" s="4" t="inlineStr">
        <is>
          <t>Negombo</t>
        </is>
      </c>
      <c r="C20" s="5" t="n">
        <v>137952</v>
      </c>
      <c r="D20" s="5" t="n"/>
      <c r="E20" s="4">
        <f>IFERROR(C20/SUMIF($A$6:$A$45,A20,$C$6:$C$45),"")</f>
        <v/>
      </c>
      <c r="F20" s="4">
        <f>IFERROR(C20/D20,"")</f>
        <v/>
      </c>
      <c r="G20" s="4">
        <f>IFERROR(0.5*E20+0.5*F20,"")</f>
        <v/>
      </c>
      <c r="H20" s="5" t="n">
        <v>8652</v>
      </c>
      <c r="I20" s="5" t="n"/>
      <c r="J20" s="5" t="n">
        <v>1</v>
      </c>
      <c r="K20" s="5" t="n"/>
    </row>
    <row r="21">
      <c r="A21" s="4" t="inlineStr">
        <is>
          <t>Gampaha District</t>
        </is>
      </c>
      <c r="B21" s="4" t="inlineStr">
        <is>
          <t>Katana</t>
        </is>
      </c>
      <c r="C21" s="5" t="n">
        <v>241219</v>
      </c>
      <c r="D21" s="5" t="n"/>
      <c r="E21" s="4">
        <f>IFERROR(C21/SUMIF($A$6:$A$45,A21,$C$6:$C$45),"")</f>
        <v/>
      </c>
      <c r="F21" s="4">
        <f>IFERROR(C21/D21,"")</f>
        <v/>
      </c>
      <c r="G21" s="4">
        <f>IFERROR(0.5*E21+0.5*F21,"")</f>
        <v/>
      </c>
      <c r="H21" s="5" t="n">
        <v>8652</v>
      </c>
      <c r="I21" s="5" t="n"/>
      <c r="J21" s="5" t="n">
        <v>1</v>
      </c>
      <c r="K21" s="5" t="n"/>
    </row>
    <row r="22">
      <c r="A22" s="4" t="inlineStr">
        <is>
          <t>Gampaha District</t>
        </is>
      </c>
      <c r="B22" s="4" t="inlineStr">
        <is>
          <t>Divulapitiya</t>
        </is>
      </c>
      <c r="C22" s="5" t="n">
        <v>156957</v>
      </c>
      <c r="D22" s="5" t="n"/>
      <c r="E22" s="4">
        <f>IFERROR(C22/SUMIF($A$6:$A$45,A22,$C$6:$C$45),"")</f>
        <v/>
      </c>
      <c r="F22" s="4">
        <f>IFERROR(C22/D22,"")</f>
        <v/>
      </c>
      <c r="G22" s="4">
        <f>IFERROR(0.5*E22+0.5*F22,"")</f>
        <v/>
      </c>
      <c r="H22" s="5" t="n">
        <v>8652</v>
      </c>
      <c r="I22" s="5" t="n"/>
      <c r="J22" s="5" t="n">
        <v>0</v>
      </c>
      <c r="K22" s="5" t="n"/>
    </row>
    <row r="23">
      <c r="A23" s="4" t="inlineStr">
        <is>
          <t>Gampaha District</t>
        </is>
      </c>
      <c r="B23" s="4" t="inlineStr">
        <is>
          <t>Mirigama</t>
        </is>
      </c>
      <c r="C23" s="5" t="n">
        <v>176747</v>
      </c>
      <c r="D23" s="5" t="n"/>
      <c r="E23" s="4">
        <f>IFERROR(C23/SUMIF($A$6:$A$45,A23,$C$6:$C$45),"")</f>
        <v/>
      </c>
      <c r="F23" s="4">
        <f>IFERROR(C23/D23,"")</f>
        <v/>
      </c>
      <c r="G23" s="4">
        <f>IFERROR(0.5*E23+0.5*F23,"")</f>
        <v/>
      </c>
      <c r="H23" s="5" t="n">
        <v>8652</v>
      </c>
      <c r="I23" s="5" t="n"/>
      <c r="J23" s="5" t="n">
        <v>0</v>
      </c>
      <c r="K23" s="5" t="n"/>
    </row>
    <row r="24">
      <c r="A24" s="4" t="inlineStr">
        <is>
          <t>Gampaha District</t>
        </is>
      </c>
      <c r="B24" s="4" t="inlineStr">
        <is>
          <t>Minuwangoda</t>
        </is>
      </c>
      <c r="C24" s="5" t="n">
        <v>198774</v>
      </c>
      <c r="D24" s="5" t="n"/>
      <c r="E24" s="4">
        <f>IFERROR(C24/SUMIF($A$6:$A$45,A24,$C$6:$C$45),"")</f>
        <v/>
      </c>
      <c r="F24" s="4">
        <f>IFERROR(C24/D24,"")</f>
        <v/>
      </c>
      <c r="G24" s="4">
        <f>IFERROR(0.5*E24+0.5*F24,"")</f>
        <v/>
      </c>
      <c r="H24" s="5" t="n">
        <v>8652</v>
      </c>
      <c r="I24" s="5" t="n"/>
      <c r="J24" s="5" t="n">
        <v>1</v>
      </c>
      <c r="K24" s="5" t="n"/>
    </row>
    <row r="25">
      <c r="A25" s="4" t="inlineStr">
        <is>
          <t>Gampaha District</t>
        </is>
      </c>
      <c r="B25" s="4" t="inlineStr">
        <is>
          <t>Wattala</t>
        </is>
      </c>
      <c r="C25" s="5" t="n">
        <v>182505</v>
      </c>
      <c r="D25" s="5" t="n"/>
      <c r="E25" s="4">
        <f>IFERROR(C25/SUMIF($A$6:$A$45,A25,$C$6:$C$45),"")</f>
        <v/>
      </c>
      <c r="F25" s="4">
        <f>IFERROR(C25/D25,"")</f>
        <v/>
      </c>
      <c r="G25" s="4">
        <f>IFERROR(0.5*E25+0.5*F25,"")</f>
        <v/>
      </c>
      <c r="H25" s="5" t="n">
        <v>8652</v>
      </c>
      <c r="I25" s="5" t="n"/>
      <c r="J25" s="5" t="n">
        <v>1</v>
      </c>
      <c r="K25" s="5" t="n"/>
    </row>
    <row r="26">
      <c r="A26" s="4" t="inlineStr">
        <is>
          <t>Gampaha District</t>
        </is>
      </c>
      <c r="B26" s="4" t="inlineStr">
        <is>
          <t>Ja-Ela</t>
        </is>
      </c>
      <c r="C26" s="5" t="n">
        <v>204806</v>
      </c>
      <c r="D26" s="5" t="n"/>
      <c r="E26" s="4">
        <f>IFERROR(C26/SUMIF($A$6:$A$45,A26,$C$6:$C$45),"")</f>
        <v/>
      </c>
      <c r="F26" s="4">
        <f>IFERROR(C26/D26,"")</f>
        <v/>
      </c>
      <c r="G26" s="4">
        <f>IFERROR(0.5*E26+0.5*F26,"")</f>
        <v/>
      </c>
      <c r="H26" s="5" t="n">
        <v>8652</v>
      </c>
      <c r="I26" s="5" t="n"/>
      <c r="J26" s="5" t="n">
        <v>1</v>
      </c>
      <c r="K26" s="5" t="n"/>
    </row>
    <row r="27">
      <c r="A27" s="4" t="inlineStr">
        <is>
          <t>Gampaha District</t>
        </is>
      </c>
      <c r="B27" s="4" t="inlineStr">
        <is>
          <t>Gampaha</t>
        </is>
      </c>
      <c r="C27" s="5" t="n">
        <v>205610</v>
      </c>
      <c r="D27" s="5" t="n"/>
      <c r="E27" s="4">
        <f>IFERROR(C27/SUMIF($A$6:$A$45,A27,$C$6:$C$45),"")</f>
        <v/>
      </c>
      <c r="F27" s="4">
        <f>IFERROR(C27/D27,"")</f>
        <v/>
      </c>
      <c r="G27" s="4">
        <f>IFERROR(0.5*E27+0.5*F27,"")</f>
        <v/>
      </c>
      <c r="H27" s="5" t="n">
        <v>8652</v>
      </c>
      <c r="I27" s="5" t="n"/>
      <c r="J27" s="5" t="n">
        <v>1</v>
      </c>
      <c r="K27" s="5" t="n"/>
    </row>
    <row r="28">
      <c r="A28" s="4" t="inlineStr">
        <is>
          <t>Gampaha District</t>
        </is>
      </c>
      <c r="B28" s="4" t="inlineStr">
        <is>
          <t>Attanagalla</t>
        </is>
      </c>
      <c r="C28" s="5" t="n">
        <v>197725</v>
      </c>
      <c r="D28" s="5" t="n"/>
      <c r="E28" s="4">
        <f>IFERROR(C28/SUMIF($A$6:$A$45,A28,$C$6:$C$45),"")</f>
        <v/>
      </c>
      <c r="F28" s="4">
        <f>IFERROR(C28/D28,"")</f>
        <v/>
      </c>
      <c r="G28" s="4">
        <f>IFERROR(0.5*E28+0.5*F28,"")</f>
        <v/>
      </c>
      <c r="H28" s="5" t="n">
        <v>8652</v>
      </c>
      <c r="I28" s="5" t="n"/>
      <c r="J28" s="5" t="n">
        <v>1</v>
      </c>
      <c r="K28" s="5" t="n"/>
    </row>
    <row r="29">
      <c r="A29" s="4" t="inlineStr">
        <is>
          <t>Gampaha District</t>
        </is>
      </c>
      <c r="B29" s="4" t="inlineStr">
        <is>
          <t>Dompe</t>
        </is>
      </c>
      <c r="C29" s="5" t="n">
        <v>169877</v>
      </c>
      <c r="D29" s="5" t="n"/>
      <c r="E29" s="4">
        <f>IFERROR(C29/SUMIF($A$6:$A$45,A29,$C$6:$C$45),"")</f>
        <v/>
      </c>
      <c r="F29" s="4">
        <f>IFERROR(C29/D29,"")</f>
        <v/>
      </c>
      <c r="G29" s="4">
        <f>IFERROR(0.5*E29+0.5*F29,"")</f>
        <v/>
      </c>
      <c r="H29" s="5" t="n">
        <v>8652</v>
      </c>
      <c r="I29" s="5" t="n"/>
      <c r="J29" s="5" t="n">
        <v>0</v>
      </c>
      <c r="K29" s="5" t="n"/>
    </row>
    <row r="30">
      <c r="A30" s="4" t="inlineStr">
        <is>
          <t>Gampaha District</t>
        </is>
      </c>
      <c r="B30" s="4" t="inlineStr">
        <is>
          <t>Mahara</t>
        </is>
      </c>
      <c r="C30" s="5" t="n">
        <v>223060</v>
      </c>
      <c r="D30" s="5" t="n"/>
      <c r="E30" s="4">
        <f>IFERROR(C30/SUMIF($A$6:$A$45,A30,$C$6:$C$45),"")</f>
        <v/>
      </c>
      <c r="F30" s="4">
        <f>IFERROR(C30/D30,"")</f>
        <v/>
      </c>
      <c r="G30" s="4">
        <f>IFERROR(0.5*E30+0.5*F30,"")</f>
        <v/>
      </c>
      <c r="H30" s="5" t="n">
        <v>8652</v>
      </c>
      <c r="I30" s="5" t="n"/>
      <c r="J30" s="5" t="n">
        <v>1</v>
      </c>
      <c r="K30" s="5" t="n"/>
    </row>
    <row r="31">
      <c r="A31" s="4" t="inlineStr">
        <is>
          <t>Gampaha District</t>
        </is>
      </c>
      <c r="B31" s="4" t="inlineStr">
        <is>
          <t>Kelaniya</t>
        </is>
      </c>
      <c r="C31" s="5" t="n">
        <v>133755</v>
      </c>
      <c r="D31" s="5" t="n"/>
      <c r="E31" s="4">
        <f>IFERROR(C31/SUMIF($A$6:$A$45,A31,$C$6:$C$45),"")</f>
        <v/>
      </c>
      <c r="F31" s="4">
        <f>IFERROR(C31/D31,"")</f>
        <v/>
      </c>
      <c r="G31" s="4">
        <f>IFERROR(0.5*E31+0.5*F31,"")</f>
        <v/>
      </c>
      <c r="H31" s="5" t="n">
        <v>8652</v>
      </c>
      <c r="I31" s="5" t="n"/>
      <c r="J31" s="5" t="n">
        <v>1</v>
      </c>
      <c r="K31" s="5" t="n"/>
    </row>
    <row r="32">
      <c r="A32" s="4" t="inlineStr">
        <is>
          <t>Gampaha District</t>
        </is>
      </c>
      <c r="B32" s="4" t="inlineStr">
        <is>
          <t>Biyagama</t>
        </is>
      </c>
      <c r="C32" s="5" t="n">
        <v>207155</v>
      </c>
      <c r="D32" s="5" t="n"/>
      <c r="E32" s="4">
        <f>IFERROR(C32/SUMIF($A$6:$A$45,A32,$C$6:$C$45),"")</f>
        <v/>
      </c>
      <c r="F32" s="4">
        <f>IFERROR(C32/D32,"")</f>
        <v/>
      </c>
      <c r="G32" s="4">
        <f>IFERROR(0.5*E32+0.5*F32,"")</f>
        <v/>
      </c>
      <c r="H32" s="5" t="n">
        <v>8652</v>
      </c>
      <c r="I32" s="5" t="n"/>
      <c r="J32" s="5" t="n">
        <v>0</v>
      </c>
      <c r="K32" s="5" t="n"/>
    </row>
    <row r="33">
      <c r="A33" s="4" t="inlineStr">
        <is>
          <t>Kalutara District</t>
        </is>
      </c>
      <c r="B33" s="4" t="inlineStr">
        <is>
          <t>Panadura</t>
        </is>
      </c>
      <c r="C33" s="5" t="n">
        <v>187475</v>
      </c>
      <c r="D33" s="5" t="n"/>
      <c r="E33" s="4">
        <f>IFERROR(C33/SUMIF($A$6:$A$45,A33,$C$6:$C$45),"")</f>
        <v/>
      </c>
      <c r="F33" s="4">
        <f>IFERROR(C33/D33,"")</f>
        <v/>
      </c>
      <c r="G33" s="4">
        <f>IFERROR(0.5*E33+0.5*F33,"")</f>
        <v/>
      </c>
      <c r="H33" s="5" t="n">
        <v>3528</v>
      </c>
      <c r="I33" s="5" t="n"/>
      <c r="J33" s="5" t="n">
        <v>2</v>
      </c>
      <c r="K33" s="5" t="n"/>
    </row>
    <row r="34">
      <c r="A34" s="4" t="inlineStr">
        <is>
          <t>Kalutara District</t>
        </is>
      </c>
      <c r="B34" s="4" t="inlineStr">
        <is>
          <t>Bandaragama</t>
        </is>
      </c>
      <c r="C34" s="5" t="n">
        <v>124133</v>
      </c>
      <c r="D34" s="5" t="n"/>
      <c r="E34" s="4">
        <f>IFERROR(C34/SUMIF($A$6:$A$45,A34,$C$6:$C$45),"")</f>
        <v/>
      </c>
      <c r="F34" s="4">
        <f>IFERROR(C34/D34,"")</f>
        <v/>
      </c>
      <c r="G34" s="4">
        <f>IFERROR(0.5*E34+0.5*F34,"")</f>
        <v/>
      </c>
      <c r="H34" s="5" t="n">
        <v>3528</v>
      </c>
      <c r="I34" s="5" t="n"/>
      <c r="J34" s="5" t="n">
        <v>0</v>
      </c>
      <c r="K34" s="5" t="n"/>
    </row>
    <row r="35">
      <c r="A35" s="4" t="inlineStr">
        <is>
          <t>Kalutara District</t>
        </is>
      </c>
      <c r="B35" s="4" t="inlineStr">
        <is>
          <t>Horana</t>
        </is>
      </c>
      <c r="C35" s="5" t="n">
        <v>133685</v>
      </c>
      <c r="D35" s="5" t="n"/>
      <c r="E35" s="4">
        <f>IFERROR(C35/SUMIF($A$6:$A$45,A35,$C$6:$C$45),"")</f>
        <v/>
      </c>
      <c r="F35" s="4">
        <f>IFERROR(C35/D35,"")</f>
        <v/>
      </c>
      <c r="G35" s="4">
        <f>IFERROR(0.5*E35+0.5*F35,"")</f>
        <v/>
      </c>
      <c r="H35" s="5" t="n">
        <v>3528</v>
      </c>
      <c r="I35" s="5" t="n"/>
      <c r="J35" s="5" t="n">
        <v>2</v>
      </c>
      <c r="K35" s="5" t="n"/>
    </row>
    <row r="36">
      <c r="A36" s="4" t="inlineStr">
        <is>
          <t>Kalutara District</t>
        </is>
      </c>
      <c r="B36" s="4" t="inlineStr">
        <is>
          <t>Ingiriya</t>
        </is>
      </c>
      <c r="C36" s="5" t="n">
        <v>58361</v>
      </c>
      <c r="D36" s="5" t="n"/>
      <c r="E36" s="4">
        <f>IFERROR(C36/SUMIF($A$6:$A$45,A36,$C$6:$C$45),"")</f>
        <v/>
      </c>
      <c r="F36" s="4">
        <f>IFERROR(C36/D36,"")</f>
        <v/>
      </c>
      <c r="G36" s="4">
        <f>IFERROR(0.5*E36+0.5*F36,"")</f>
        <v/>
      </c>
      <c r="H36" s="5" t="n">
        <v>3528</v>
      </c>
      <c r="I36" s="5" t="n"/>
      <c r="J36" s="5" t="n">
        <v>1</v>
      </c>
      <c r="K36" s="5" t="n"/>
    </row>
    <row r="37">
      <c r="A37" s="4" t="inlineStr">
        <is>
          <t>Kalutara District</t>
        </is>
      </c>
      <c r="B37" s="4" t="inlineStr">
        <is>
          <t>Bulathsinhala</t>
        </is>
      </c>
      <c r="C37" s="5" t="n">
        <v>65550</v>
      </c>
      <c r="D37" s="5" t="n"/>
      <c r="E37" s="4">
        <f>IFERROR(C37/SUMIF($A$6:$A$45,A37,$C$6:$C$45),"")</f>
        <v/>
      </c>
      <c r="F37" s="4">
        <f>IFERROR(C37/D37,"")</f>
        <v/>
      </c>
      <c r="G37" s="4">
        <f>IFERROR(0.5*E37+0.5*F37,"")</f>
        <v/>
      </c>
      <c r="H37" s="5" t="n">
        <v>3528</v>
      </c>
      <c r="I37" s="5" t="n"/>
      <c r="J37" s="5" t="n">
        <v>0</v>
      </c>
      <c r="K37" s="5" t="n"/>
    </row>
    <row r="38">
      <c r="A38" s="4" t="inlineStr">
        <is>
          <t>Kalutara District</t>
        </is>
      </c>
      <c r="B38" s="4" t="inlineStr">
        <is>
          <t>Madurawala</t>
        </is>
      </c>
      <c r="C38" s="5" t="n">
        <v>36723</v>
      </c>
      <c r="D38" s="5" t="n"/>
      <c r="E38" s="4">
        <f>IFERROR(C38/SUMIF($A$6:$A$45,A38,$C$6:$C$45),"")</f>
        <v/>
      </c>
      <c r="F38" s="4">
        <f>IFERROR(C38/D38,"")</f>
        <v/>
      </c>
      <c r="G38" s="4">
        <f>IFERROR(0.5*E38+0.5*F38,"")</f>
        <v/>
      </c>
      <c r="H38" s="5" t="n">
        <v>3528</v>
      </c>
      <c r="I38" s="5" t="n"/>
      <c r="J38" s="5" t="n">
        <v>0</v>
      </c>
      <c r="K38" s="5" t="n"/>
    </row>
    <row r="39">
      <c r="A39" s="4" t="inlineStr">
        <is>
          <t>Kalutara District</t>
        </is>
      </c>
      <c r="B39" s="4" t="inlineStr">
        <is>
          <t>Millaniya</t>
        </is>
      </c>
      <c r="C39" s="5" t="n">
        <v>56166</v>
      </c>
      <c r="D39" s="5" t="n"/>
      <c r="E39" s="4">
        <f>IFERROR(C39/SUMIF($A$6:$A$45,A39,$C$6:$C$45),"")</f>
        <v/>
      </c>
      <c r="F39" s="4">
        <f>IFERROR(C39/D39,"")</f>
        <v/>
      </c>
      <c r="G39" s="4">
        <f>IFERROR(0.5*E39+0.5*F39,"")</f>
        <v/>
      </c>
      <c r="H39" s="5" t="n">
        <v>3528</v>
      </c>
      <c r="I39" s="5" t="n"/>
      <c r="J39" s="5" t="n">
        <v>0</v>
      </c>
      <c r="K39" s="5" t="n"/>
    </row>
    <row r="40">
      <c r="A40" s="4" t="inlineStr">
        <is>
          <t>Kalutara District</t>
        </is>
      </c>
      <c r="B40" s="4" t="inlineStr">
        <is>
          <t>Kalutara</t>
        </is>
      </c>
      <c r="C40" s="5" t="n">
        <v>166624</v>
      </c>
      <c r="D40" s="5" t="n"/>
      <c r="E40" s="4">
        <f>IFERROR(C40/SUMIF($A$6:$A$45,A40,$C$6:$C$45),"")</f>
        <v/>
      </c>
      <c r="F40" s="4">
        <f>IFERROR(C40/D40,"")</f>
        <v/>
      </c>
      <c r="G40" s="4">
        <f>IFERROR(0.5*E40+0.5*F40,"")</f>
        <v/>
      </c>
      <c r="H40" s="5" t="n">
        <v>3528</v>
      </c>
      <c r="I40" s="5" t="n"/>
      <c r="J40" s="5" t="n">
        <v>1</v>
      </c>
      <c r="K40" s="5" t="n"/>
    </row>
    <row r="41">
      <c r="A41" s="4" t="inlineStr">
        <is>
          <t>Kalutara District</t>
        </is>
      </c>
      <c r="B41" s="4" t="inlineStr">
        <is>
          <t>Beruwala</t>
        </is>
      </c>
      <c r="C41" s="5" t="n">
        <v>180820</v>
      </c>
      <c r="D41" s="5" t="n"/>
      <c r="E41" s="4">
        <f>IFERROR(C41/SUMIF($A$6:$A$45,A41,$C$6:$C$45),"")</f>
        <v/>
      </c>
      <c r="F41" s="4">
        <f>IFERROR(C41/D41,"")</f>
        <v/>
      </c>
      <c r="G41" s="4">
        <f>IFERROR(0.5*E41+0.5*F41,"")</f>
        <v/>
      </c>
      <c r="H41" s="5" t="n">
        <v>3528</v>
      </c>
      <c r="I41" s="5" t="n"/>
      <c r="J41" s="5" t="n">
        <v>2</v>
      </c>
      <c r="K41" s="5" t="n"/>
    </row>
    <row r="42">
      <c r="A42" s="4" t="inlineStr">
        <is>
          <t>Kalutara District</t>
        </is>
      </c>
      <c r="B42" s="4" t="inlineStr">
        <is>
          <t>Dodangoda</t>
        </is>
      </c>
      <c r="C42" s="5" t="n">
        <v>67089</v>
      </c>
      <c r="D42" s="5" t="n"/>
      <c r="E42" s="4">
        <f>IFERROR(C42/SUMIF($A$6:$A$45,A42,$C$6:$C$45),"")</f>
        <v/>
      </c>
      <c r="F42" s="4">
        <f>IFERROR(C42/D42,"")</f>
        <v/>
      </c>
      <c r="G42" s="4">
        <f>IFERROR(0.5*E42+0.5*F42,"")</f>
        <v/>
      </c>
      <c r="H42" s="5" t="n">
        <v>3528</v>
      </c>
      <c r="I42" s="5" t="n"/>
      <c r="J42" s="5" t="n">
        <v>0</v>
      </c>
      <c r="K42" s="5" t="n"/>
    </row>
    <row r="43">
      <c r="A43" s="4" t="inlineStr">
        <is>
          <t>Kalutara District</t>
        </is>
      </c>
      <c r="B43" s="4" t="inlineStr">
        <is>
          <t>Mathugama</t>
        </is>
      </c>
      <c r="C43" s="5" t="n">
        <v>86065</v>
      </c>
      <c r="D43" s="5" t="n"/>
      <c r="E43" s="4">
        <f>IFERROR(C43/SUMIF($A$6:$A$45,A43,$C$6:$C$45),"")</f>
        <v/>
      </c>
      <c r="F43" s="4">
        <f>IFERROR(C43/D43,"")</f>
        <v/>
      </c>
      <c r="G43" s="4">
        <f>IFERROR(0.5*E43+0.5*F43,"")</f>
        <v/>
      </c>
      <c r="H43" s="5" t="n">
        <v>3528</v>
      </c>
      <c r="I43" s="5" t="n"/>
      <c r="J43" s="5" t="n">
        <v>1</v>
      </c>
      <c r="K43" s="5" t="n"/>
    </row>
    <row r="44">
      <c r="A44" s="4" t="inlineStr">
        <is>
          <t>Kalutara District</t>
        </is>
      </c>
      <c r="B44" s="4" t="inlineStr">
        <is>
          <t>Agalawatta</t>
        </is>
      </c>
      <c r="C44" s="5" t="n">
        <v>36589</v>
      </c>
      <c r="D44" s="5" t="n"/>
      <c r="E44" s="4">
        <f>IFERROR(C44/SUMIF($A$6:$A$45,A44,$C$6:$C$45),"")</f>
        <v/>
      </c>
      <c r="F44" s="4">
        <f>IFERROR(C44/D44,"")</f>
        <v/>
      </c>
      <c r="G44" s="4">
        <f>IFERROR(0.5*E44+0.5*F44,"")</f>
        <v/>
      </c>
      <c r="H44" s="5" t="n">
        <v>3528</v>
      </c>
      <c r="I44" s="5" t="n"/>
      <c r="J44" s="5" t="n">
        <v>0</v>
      </c>
      <c r="K44" s="5" t="n"/>
    </row>
    <row r="45">
      <c r="A45" s="4" t="inlineStr">
        <is>
          <t>Kalutara District</t>
        </is>
      </c>
      <c r="B45" s="4" t="inlineStr">
        <is>
          <t>Palindanuwara</t>
        </is>
      </c>
      <c r="C45" s="5" t="n">
        <v>51171</v>
      </c>
      <c r="D45" s="5" t="n"/>
      <c r="E45" s="4">
        <f>IFERROR(C45/SUMIF($A$6:$A$45,A45,$C$6:$C$45),"")</f>
        <v/>
      </c>
      <c r="F45" s="4">
        <f>IFERROR(C45/D45,"")</f>
        <v/>
      </c>
      <c r="G45" s="4">
        <f>IFERROR(0.5*E45+0.5*F45,"")</f>
        <v/>
      </c>
      <c r="H45" s="5" t="n">
        <v>3528</v>
      </c>
      <c r="I45" s="5" t="n"/>
      <c r="J45" s="5" t="n">
        <v>0</v>
      </c>
      <c r="K45" s="5" t="n"/>
    </row>
    <row r="47">
      <c r="A47" s="6" t="inlineStr">
        <is>
          <t>Notes:</t>
        </is>
      </c>
    </row>
    <row r="48">
      <c r="A48" s="2" t="inlineStr">
        <is>
          <t>- Population is imported from Population_Table_western.xlsx.</t>
        </is>
      </c>
    </row>
    <row r="49">
      <c r="A49" s="2" t="inlineStr">
        <is>
          <t>- District EV Count is summed from Western_Province_Data.xlsx.</t>
        </is>
      </c>
    </row>
    <row r="50">
      <c r="A50" s="2" t="inlineStr">
        <is>
          <t>- Existing charging points are counted from Western_Province_EV_Chargers.xlsx.</t>
        </is>
      </c>
    </row>
    <row r="51">
      <c r="A51" s="2" t="inlineStr">
        <is>
          <t>- District EV Count and Divisional Secretariat EV Demand are repeated for every DS row in the same district.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2026-07-14T03:46:45Z</dcterms:created>
  <dcterms:modified xsi:type="dcterms:W3CDTF">2026-07-14T03:46:45Z</dcterms:modified>
</cp:coreProperties>
</file>